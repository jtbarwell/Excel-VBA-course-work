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tbar\SynologyDrive\Active Work\WLU_cp212\"/>
    </mc:Choice>
  </mc:AlternateContent>
  <xr:revisionPtr revIDLastSave="0" documentId="13_ncr:1_{C1056004-78CB-4402-BE06-9713A7A822CF}" xr6:coauthVersionLast="47" xr6:coauthVersionMax="47" xr10:uidLastSave="{00000000-0000-0000-0000-000000000000}"/>
  <bookViews>
    <workbookView xWindow="-108" yWindow="-108" windowWidth="23256" windowHeight="13896" activeTab="1" xr2:uid="{69134C7C-D952-4548-A652-C62A3D849DB8}"/>
  </bookViews>
  <sheets>
    <sheet name="PMT" sheetId="1" r:id="rId1"/>
    <sheet name="Macro" sheetId="2" r:id="rId2"/>
  </sheets>
  <definedNames>
    <definedName name="_xleta.PV" hidden="1" xlm="1">#NAME?</definedName>
    <definedName name="_xlpm.annRate" hidden="1" xlm="1">#NAME?</definedName>
    <definedName name="_xlpm.c" hidden="1" xlm="1">#NAME?</definedName>
    <definedName name="_xlpm.currRate" hidden="1" xlm="1">#NAME?</definedName>
    <definedName name="_xlpm.denominator" hidden="1" xlm="1">#NAME?</definedName>
    <definedName name="_xlpm.mnthlyPMT" hidden="1" xlm="1">#NAME?</definedName>
    <definedName name="_xlpm.mnthRate" hidden="1" xlm="1">#NAME?</definedName>
    <definedName name="_xlpm.monthsInYear" hidden="1" xlm="1">#NAME?</definedName>
    <definedName name="_xlpm.numerator" hidden="1" xlm="1">#NAME?</definedName>
    <definedName name="_xlpm.periods" hidden="1" xlm="1">#NAME?</definedName>
    <definedName name="_xlpm.PV" hidden="1" xlm="1">#NAME?</definedName>
    <definedName name="_xlpm.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2" l="1"/>
  <c r="C21" i="1"/>
  <c r="C25" i="1"/>
  <c r="C29" i="1"/>
  <c r="A20" i="1"/>
  <c r="C20" i="1" s="1"/>
  <c r="A21" i="1"/>
  <c r="A22" i="1"/>
  <c r="C22" i="1" s="1"/>
  <c r="A23" i="1"/>
  <c r="C23" i="1" s="1"/>
  <c r="A24" i="1"/>
  <c r="C24" i="1" s="1"/>
  <c r="A25" i="1"/>
  <c r="A26" i="1"/>
  <c r="C26" i="1" s="1"/>
  <c r="A27" i="1"/>
  <c r="C27" i="1" s="1"/>
  <c r="A28" i="1"/>
  <c r="C28" i="1" s="1"/>
  <c r="A29" i="1"/>
  <c r="A19" i="1"/>
  <c r="C19" i="1" s="1"/>
  <c r="B16" i="1"/>
  <c r="B10" i="1"/>
</calcChain>
</file>

<file path=xl/sharedStrings.xml><?xml version="1.0" encoding="utf-8"?>
<sst xmlns="http://schemas.openxmlformats.org/spreadsheetml/2006/main" count="34" uniqueCount="18">
  <si>
    <t>First Name:</t>
  </si>
  <si>
    <t>Last Name:</t>
  </si>
  <si>
    <t>ID:</t>
  </si>
  <si>
    <t>Email:</t>
  </si>
  <si>
    <t>Joshua</t>
  </si>
  <si>
    <t>Barwell</t>
  </si>
  <si>
    <t>barw3488@mylaurier.ca</t>
  </si>
  <si>
    <t>Method 1: Using PMT function to find monthly payment</t>
  </si>
  <si>
    <t>Annual Rate =</t>
  </si>
  <si>
    <t>PV (loan) =</t>
  </si>
  <si>
    <t>Year =</t>
  </si>
  <si>
    <t>Monthly Payment =</t>
  </si>
  <si>
    <t>Method 2: Create function from Equation to find monthly payments</t>
  </si>
  <si>
    <t>Rate per month</t>
  </si>
  <si>
    <t>Annual Rate</t>
  </si>
  <si>
    <t>Monthly Payments</t>
  </si>
  <si>
    <t>Given Contition:</t>
  </si>
  <si>
    <t>nper (months)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</si>
</sst>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;[Red]\-&quot;$&quot;#,##0.00"/>
    <numFmt numFmtId="43" formatCode="_-* #,##0.00_-;\-* #,##0.00_-;_-* &quot;-&quot;??_-;_-@_-"/>
    <numFmt numFmtId="164" formatCode="&quot;$&quot;\ #,##0.00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34998626667073579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/>
    <xf numFmtId="10" fontId="0" fillId="0" borderId="0" xfId="2" applyNumberFormat="1" applyFont="1"/>
    <xf numFmtId="0" fontId="0" fillId="0" borderId="4" xfId="0" applyBorder="1"/>
    <xf numFmtId="43" fontId="0" fillId="0" borderId="5" xfId="1" applyFont="1" applyBorder="1"/>
    <xf numFmtId="0" fontId="0" fillId="0" borderId="6" xfId="0" applyBorder="1"/>
    <xf numFmtId="10" fontId="0" fillId="0" borderId="2" xfId="2" applyNumberFormat="1" applyFont="1" applyBorder="1"/>
    <xf numFmtId="0" fontId="0" fillId="0" borderId="2" xfId="0" applyBorder="1"/>
    <xf numFmtId="0" fontId="0" fillId="0" borderId="7" xfId="0" applyBorder="1"/>
    <xf numFmtId="8" fontId="0" fillId="0" borderId="1" xfId="0" applyNumberFormat="1" applyBorder="1"/>
    <xf numFmtId="10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3" applyBorder="1" applyAlignment="1">
      <alignment horizontal="left"/>
    </xf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10" fontId="0" fillId="0" borderId="14" xfId="0" applyNumberFormat="1" applyBorder="1" applyAlignment="1">
      <alignment horizontal="center"/>
    </xf>
    <xf numFmtId="10" fontId="0" fillId="0" borderId="15" xfId="2" applyNumberFormat="1" applyFon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10" fontId="0" fillId="0" borderId="17" xfId="0" applyNumberFormat="1" applyBorder="1" applyAlignment="1">
      <alignment horizontal="center"/>
    </xf>
    <xf numFmtId="10" fontId="0" fillId="0" borderId="18" xfId="2" applyNumberFormat="1" applyFon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10" fontId="0" fillId="0" borderId="18" xfId="0" applyNumberFormat="1" applyBorder="1" applyAlignment="1">
      <alignment horizontal="center"/>
    </xf>
    <xf numFmtId="10" fontId="0" fillId="0" borderId="20" xfId="0" applyNumberFormat="1" applyBorder="1" applyAlignment="1">
      <alignment horizontal="center"/>
    </xf>
    <xf numFmtId="10" fontId="0" fillId="0" borderId="21" xfId="2" applyNumberFormat="1" applyFon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164" fontId="0" fillId="0" borderId="9" xfId="1" applyNumberFormat="1" applyFont="1" applyBorder="1"/>
    <xf numFmtId="10" fontId="0" fillId="0" borderId="14" xfId="2" applyNumberFormat="1" applyFont="1" applyBorder="1" applyAlignment="1">
      <alignment horizontal="center" vertical="center"/>
    </xf>
    <xf numFmtId="10" fontId="0" fillId="0" borderId="15" xfId="2" applyNumberFormat="1" applyFont="1" applyBorder="1" applyAlignment="1">
      <alignment horizontal="center" vertical="center"/>
    </xf>
    <xf numFmtId="10" fontId="0" fillId="0" borderId="18" xfId="2" applyNumberFormat="1" applyFont="1" applyBorder="1" applyAlignment="1">
      <alignment horizontal="center" vertical="center"/>
    </xf>
    <xf numFmtId="10" fontId="0" fillId="0" borderId="17" xfId="2" applyNumberFormat="1" applyFont="1" applyBorder="1" applyAlignment="1">
      <alignment horizontal="center" vertical="center"/>
    </xf>
    <xf numFmtId="10" fontId="0" fillId="0" borderId="20" xfId="2" applyNumberFormat="1" applyFont="1" applyBorder="1" applyAlignment="1">
      <alignment horizontal="center" vertical="center"/>
    </xf>
    <xf numFmtId="10" fontId="0" fillId="0" borderId="21" xfId="2" applyNumberFormat="1" applyFont="1" applyBorder="1" applyAlignment="1">
      <alignment horizontal="center" vertical="center"/>
    </xf>
    <xf numFmtId="164" fontId="0" fillId="0" borderId="16" xfId="1" applyNumberFormat="1" applyFont="1" applyBorder="1" applyAlignment="1">
      <alignment horizontal="center"/>
    </xf>
    <xf numFmtId="164" fontId="0" fillId="0" borderId="19" xfId="1" applyNumberFormat="1" applyFont="1" applyBorder="1" applyAlignment="1">
      <alignment horizontal="center"/>
    </xf>
    <xf numFmtId="164" fontId="0" fillId="0" borderId="22" xfId="1" applyNumberFormat="1" applyFont="1" applyBorder="1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t" anchorCtr="0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 effect</a:t>
            </a:r>
            <a:r>
              <a:rPr lang="en-US" baseline="0"/>
              <a:t> of Annual Interest on the Monthly Payment</a:t>
            </a:r>
            <a:endParaRPr lang="en-US"/>
          </a:p>
        </c:rich>
      </c:tx>
      <c:layout>
        <c:manualLayout>
          <c:xMode val="edge"/>
          <c:yMode val="edge"/>
          <c:x val="0.17127905655306108"/>
          <c:y val="3.70369632694777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PMT!$C$18</c:f>
              <c:strCache>
                <c:ptCount val="1"/>
                <c:pt idx="0">
                  <c:v>Monthly Payments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PMT!$B$19:$B$29</c:f>
              <c:numCache>
                <c:formatCode>0.00%</c:formatCode>
                <c:ptCount val="11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  <c:pt idx="7">
                  <c:v>5.5E-2</c:v>
                </c:pt>
                <c:pt idx="8">
                  <c:v>0.06</c:v>
                </c:pt>
                <c:pt idx="9">
                  <c:v>6.5000000000000002E-2</c:v>
                </c:pt>
                <c:pt idx="10">
                  <c:v>7.0000000000000007E-2</c:v>
                </c:pt>
              </c:numCache>
            </c:numRef>
          </c:xVal>
          <c:yVal>
            <c:numRef>
              <c:f>PMT!$C$19:$C$29</c:f>
              <c:numCache>
                <c:formatCode>0.00</c:formatCode>
                <c:ptCount val="11"/>
                <c:pt idx="0">
                  <c:v>525.83280159733135</c:v>
                </c:pt>
                <c:pt idx="1">
                  <c:v>532.4208481644082</c:v>
                </c:pt>
                <c:pt idx="2">
                  <c:v>539.06071992189413</c:v>
                </c:pt>
                <c:pt idx="3">
                  <c:v>545.752349107692</c:v>
                </c:pt>
                <c:pt idx="4">
                  <c:v>552.49566165799058</c:v>
                </c:pt>
                <c:pt idx="5">
                  <c:v>559.29057724549943</c:v>
                </c:pt>
                <c:pt idx="6">
                  <c:v>566.13700932032805</c:v>
                </c:pt>
                <c:pt idx="7">
                  <c:v>573.03486515346731</c:v>
                </c:pt>
                <c:pt idx="8">
                  <c:v>579.98404588283745</c:v>
                </c:pt>
                <c:pt idx="9">
                  <c:v>586.9844465618562</c:v>
                </c:pt>
                <c:pt idx="10">
                  <c:v>594.03595621048612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2D-4864-946D-6E29E0078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66864"/>
        <c:axId val="1973827760"/>
      </c:scatterChart>
      <c:valAx>
        <c:axId val="144666864"/>
        <c:scaling>
          <c:orientation val="minMax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Annual Interest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3827760"/>
        <c:crosses val="autoZero"/>
        <c:crossBetween val="midCat"/>
      </c:valAx>
      <c:valAx>
        <c:axId val="197382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Monthly Payment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666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The Effect of Interest Rates on Monthly Payments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Macro!$B$12:$B$22</c:f>
              <c:numCache>
                <c:formatCode>0.00%</c:formatCode>
                <c:ptCount val="11"/>
              </c:numCache>
            </c:numRef>
          </c:xVal>
          <c:yVal>
            <c:numRef>
              <c:f>Macro!$C$12:$C$22</c:f>
              <c:numCache>
                <c:formatCode>"$"\ #,##0.00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D9-4D24-85DA-BA66BD161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7321183"/>
        <c:axId val="757326463"/>
      </c:scatterChart>
      <c:valAx>
        <c:axId val="757321183"/>
        <c:scaling>
          <c:orientation val="minMax"/>
          <c:min val="0.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Annual Interest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326463"/>
        <c:crosses val="autoZero"/>
        <c:crossBetween val="midCat"/>
      </c:valAx>
      <c:valAx>
        <c:axId val="75732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Monthly Payment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\ 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3211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558084</xdr:colOff>
      <xdr:row>10</xdr:row>
      <xdr:rowOff>35291</xdr:rowOff>
    </xdr:from>
    <xdr:to>
      <xdr:col>12</xdr:col>
      <xdr:colOff>52171</xdr:colOff>
      <xdr:row>29</xdr:row>
      <xdr:rowOff>23142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D37B689-F3F8-82F0-541D-13338355E4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</xdr:colOff>
          <xdr:row>6</xdr:row>
          <xdr:rowOff>15240</xdr:rowOff>
        </xdr:from>
        <xdr:to>
          <xdr:col>3</xdr:col>
          <xdr:colOff>441960</xdr:colOff>
          <xdr:row>8</xdr:row>
          <xdr:rowOff>167640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ptos Narrow"/>
                </a:rPr>
                <a:t>Calculate Monthly Payment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115933</xdr:colOff>
      <xdr:row>7</xdr:row>
      <xdr:rowOff>51707</xdr:rowOff>
    </xdr:from>
    <xdr:to>
      <xdr:col>11</xdr:col>
      <xdr:colOff>423454</xdr:colOff>
      <xdr:row>22</xdr:row>
      <xdr:rowOff>44087</xdr:rowOff>
    </xdr:to>
    <xdr:graphicFrame macro="">
      <xdr:nvGraphicFramePr>
        <xdr:cNvPr id="5" name="pmtChart">
          <a:extLst>
            <a:ext uri="{FF2B5EF4-FFF2-40B4-BE49-F238E27FC236}">
              <a16:creationId xmlns:a16="http://schemas.microsoft.com/office/drawing/2014/main" id="{CE71A492-21F5-D4EB-F546-8F489229E3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barw3488@mylaurier.ca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mailto:barw3488@mylaurier.ca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8A524-FB62-4FA7-AEFF-FE7C13313A92}">
  <sheetPr codeName="Sheet1"/>
  <dimension ref="A1:C33"/>
  <sheetViews>
    <sheetView showGridLines="0" zoomScale="90" zoomScaleNormal="90" workbookViewId="0"/>
  </sheetViews>
  <sheetFormatPr defaultRowHeight="14.4" x14ac:dyDescent="0.3"/>
  <cols>
    <col min="1" max="3" width="21.77734375" customWidth="1"/>
  </cols>
  <sheetData>
    <row r="1" spans="1:2" ht="14.4" customHeight="1" x14ac:dyDescent="0.3">
      <c r="A1" t="s">
        <v>0</v>
      </c>
      <c r="B1" s="2" t="s">
        <v>4</v>
      </c>
    </row>
    <row r="2" spans="1:2" x14ac:dyDescent="0.3">
      <c r="A2" t="s">
        <v>1</v>
      </c>
      <c r="B2" s="2" t="s">
        <v>5</v>
      </c>
    </row>
    <row r="3" spans="1:2" x14ac:dyDescent="0.3">
      <c r="A3" t="s">
        <v>2</v>
      </c>
      <c r="B3" s="2">
        <v>169053488</v>
      </c>
    </row>
    <row r="4" spans="1:2" x14ac:dyDescent="0.3">
      <c r="A4" s="3" t="s">
        <v>3</v>
      </c>
      <c r="B4" s="14" t="s">
        <v>6</v>
      </c>
    </row>
    <row r="5" spans="1:2" x14ac:dyDescent="0.3">
      <c r="B5" s="1"/>
    </row>
    <row r="6" spans="1:2" x14ac:dyDescent="0.3">
      <c r="A6" t="s">
        <v>7</v>
      </c>
    </row>
    <row r="7" spans="1:2" x14ac:dyDescent="0.3">
      <c r="A7" s="5" t="s">
        <v>9</v>
      </c>
      <c r="B7" s="6">
        <v>30000</v>
      </c>
    </row>
    <row r="8" spans="1:2" x14ac:dyDescent="0.3">
      <c r="A8" s="7" t="s">
        <v>8</v>
      </c>
      <c r="B8" s="8">
        <v>7.0000000000000007E-2</v>
      </c>
    </row>
    <row r="9" spans="1:2" x14ac:dyDescent="0.3">
      <c r="A9" s="7" t="s">
        <v>10</v>
      </c>
      <c r="B9" s="9">
        <v>5</v>
      </c>
    </row>
    <row r="10" spans="1:2" x14ac:dyDescent="0.3">
      <c r="A10" s="10" t="s">
        <v>11</v>
      </c>
      <c r="B10" s="11">
        <f>ABS(PMT(B8/12,B9*12,B7))</f>
        <v>594.03595621048612</v>
      </c>
    </row>
    <row r="12" spans="1:2" x14ac:dyDescent="0.3">
      <c r="A12" t="s">
        <v>12</v>
      </c>
    </row>
    <row r="13" spans="1:2" x14ac:dyDescent="0.3">
      <c r="A13" s="5" t="s">
        <v>9</v>
      </c>
      <c r="B13" s="6">
        <v>30000</v>
      </c>
    </row>
    <row r="14" spans="1:2" x14ac:dyDescent="0.3">
      <c r="A14" s="7" t="s">
        <v>8</v>
      </c>
      <c r="B14" s="8">
        <v>7.0000000000000007E-2</v>
      </c>
    </row>
    <row r="15" spans="1:2" x14ac:dyDescent="0.3">
      <c r="A15" s="7" t="s">
        <v>10</v>
      </c>
      <c r="B15" s="9">
        <v>5</v>
      </c>
    </row>
    <row r="16" spans="1:2" x14ac:dyDescent="0.3">
      <c r="A16" s="10" t="s">
        <v>11</v>
      </c>
      <c r="B16" s="11">
        <f>_xlfn.LET(
    _xlpm.monthsInYear, 12,
    _xlpm.annRate,      B14,
    _xlpm.mnthRate,     _xlpm.annRate/_xlpm.monthsInYear,
    _xlpm.PV,           B13,
    _xlpm.periods,      B15*_xlpm.monthsInYear,
    _xlpm.numerator,    _xlpm.mnthRate * _xlpm.PV,
    _xlpm.denominator,  1 - POWER(  (1+_xlpm.mnthRate), -_xlpm.periods   ),
    _xlpm.mnthlyPMT,    _xlpm.numerator / _xlpm.denominator,
    _xlpm.mnthlyPMT
)</f>
        <v>594.0359562104843</v>
      </c>
    </row>
    <row r="18" spans="1:3" x14ac:dyDescent="0.3">
      <c r="A18" s="13" t="s">
        <v>13</v>
      </c>
      <c r="B18" s="13" t="s">
        <v>14</v>
      </c>
      <c r="C18" s="13" t="s">
        <v>15</v>
      </c>
    </row>
    <row r="19" spans="1:3" x14ac:dyDescent="0.3">
      <c r="A19" s="20">
        <f>B19/12</f>
        <v>1.6666666666666668E-3</v>
      </c>
      <c r="B19" s="21">
        <v>0.02</v>
      </c>
      <c r="C19" s="22">
        <f>ABS(PMT(A19,60,30000))</f>
        <v>525.83280159733135</v>
      </c>
    </row>
    <row r="20" spans="1:3" x14ac:dyDescent="0.3">
      <c r="A20" s="23">
        <f t="shared" ref="A20:A29" si="0">B20/12</f>
        <v>2.0833333333333333E-3</v>
      </c>
      <c r="B20" s="24">
        <v>2.5000000000000001E-2</v>
      </c>
      <c r="C20" s="25">
        <f t="shared" ref="C20:C29" si="1">ABS(PMT(A20,60,30000))</f>
        <v>532.4208481644082</v>
      </c>
    </row>
    <row r="21" spans="1:3" x14ac:dyDescent="0.3">
      <c r="A21" s="23">
        <f t="shared" si="0"/>
        <v>2.5000000000000001E-3</v>
      </c>
      <c r="B21" s="24">
        <v>0.03</v>
      </c>
      <c r="C21" s="25">
        <f t="shared" si="1"/>
        <v>539.06071992189413</v>
      </c>
    </row>
    <row r="22" spans="1:3" x14ac:dyDescent="0.3">
      <c r="A22" s="23">
        <f t="shared" si="0"/>
        <v>2.9166666666666668E-3</v>
      </c>
      <c r="B22" s="26">
        <v>3.5000000000000003E-2</v>
      </c>
      <c r="C22" s="25">
        <f t="shared" si="1"/>
        <v>545.752349107692</v>
      </c>
    </row>
    <row r="23" spans="1:3" x14ac:dyDescent="0.3">
      <c r="A23" s="23">
        <f t="shared" si="0"/>
        <v>3.3333333333333335E-3</v>
      </c>
      <c r="B23" s="24">
        <v>0.04</v>
      </c>
      <c r="C23" s="25">
        <f t="shared" si="1"/>
        <v>552.49566165799058</v>
      </c>
    </row>
    <row r="24" spans="1:3" x14ac:dyDescent="0.3">
      <c r="A24" s="23">
        <f t="shared" si="0"/>
        <v>3.7499999999999999E-3</v>
      </c>
      <c r="B24" s="24">
        <v>4.4999999999999998E-2</v>
      </c>
      <c r="C24" s="25">
        <f t="shared" si="1"/>
        <v>559.29057724549943</v>
      </c>
    </row>
    <row r="25" spans="1:3" x14ac:dyDescent="0.3">
      <c r="A25" s="23">
        <f t="shared" si="0"/>
        <v>4.1666666666666666E-3</v>
      </c>
      <c r="B25" s="24">
        <v>0.05</v>
      </c>
      <c r="C25" s="25">
        <f t="shared" si="1"/>
        <v>566.13700932032805</v>
      </c>
    </row>
    <row r="26" spans="1:3" x14ac:dyDescent="0.3">
      <c r="A26" s="23">
        <f t="shared" si="0"/>
        <v>4.5833333333333334E-3</v>
      </c>
      <c r="B26" s="26">
        <v>5.5E-2</v>
      </c>
      <c r="C26" s="25">
        <f t="shared" si="1"/>
        <v>573.03486515346731</v>
      </c>
    </row>
    <row r="27" spans="1:3" x14ac:dyDescent="0.3">
      <c r="A27" s="23">
        <f t="shared" si="0"/>
        <v>5.0000000000000001E-3</v>
      </c>
      <c r="B27" s="24">
        <v>0.06</v>
      </c>
      <c r="C27" s="25">
        <f t="shared" si="1"/>
        <v>579.98404588283745</v>
      </c>
    </row>
    <row r="28" spans="1:3" x14ac:dyDescent="0.3">
      <c r="A28" s="23">
        <f t="shared" si="0"/>
        <v>5.4166666666666669E-3</v>
      </c>
      <c r="B28" s="24">
        <v>6.5000000000000002E-2</v>
      </c>
      <c r="C28" s="25">
        <f t="shared" si="1"/>
        <v>586.9844465618562</v>
      </c>
    </row>
    <row r="29" spans="1:3" x14ac:dyDescent="0.3">
      <c r="A29" s="27">
        <f t="shared" si="0"/>
        <v>5.8333333333333336E-3</v>
      </c>
      <c r="B29" s="28">
        <v>7.0000000000000007E-2</v>
      </c>
      <c r="C29" s="29">
        <f t="shared" si="1"/>
        <v>594.03595621048612</v>
      </c>
    </row>
    <row r="31" spans="1:3" x14ac:dyDescent="0.3">
      <c r="B31" s="4"/>
    </row>
    <row r="32" spans="1:3" x14ac:dyDescent="0.3">
      <c r="B32" s="4"/>
    </row>
    <row r="33" spans="2:2" x14ac:dyDescent="0.3">
      <c r="B33" s="12"/>
    </row>
  </sheetData>
  <hyperlinks>
    <hyperlink ref="B4" r:id="rId1" xr:uid="{7296F62B-A9AC-4913-A4B5-7462EF302754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1FA2B-17EB-453D-A28E-5BB083C840AB}">
  <sheetPr codeName="Sheet2"/>
  <dimension ref="A1:C24"/>
  <sheetViews>
    <sheetView showGridLines="0" tabSelected="1" zoomScale="112" zoomScaleNormal="130" workbookViewId="0"/>
  </sheetViews>
  <sheetFormatPr defaultRowHeight="14.4" x14ac:dyDescent="0.3"/>
  <cols>
    <col min="1" max="2" width="21.6640625" customWidth="1"/>
    <col min="3" max="3" width="21.6640625" style="1" customWidth="1"/>
  </cols>
  <sheetData>
    <row r="1" spans="1:3" x14ac:dyDescent="0.3">
      <c r="A1" t="s">
        <v>0</v>
      </c>
      <c r="B1" s="2" t="s">
        <v>4</v>
      </c>
    </row>
    <row r="2" spans="1:3" x14ac:dyDescent="0.3">
      <c r="A2" t="s">
        <v>1</v>
      </c>
      <c r="B2" s="2" t="s">
        <v>5</v>
      </c>
    </row>
    <row r="3" spans="1:3" x14ac:dyDescent="0.3">
      <c r="A3" t="s">
        <v>2</v>
      </c>
      <c r="B3" s="2">
        <v>169053488</v>
      </c>
    </row>
    <row r="4" spans="1:3" x14ac:dyDescent="0.3">
      <c r="A4" s="3" t="s">
        <v>3</v>
      </c>
      <c r="B4" s="14" t="s">
        <v>6</v>
      </c>
    </row>
    <row r="6" spans="1:3" ht="15" thickBot="1" x14ac:dyDescent="0.35">
      <c r="A6" t="s">
        <v>16</v>
      </c>
    </row>
    <row r="7" spans="1:3" x14ac:dyDescent="0.3">
      <c r="A7" s="15" t="s">
        <v>9</v>
      </c>
      <c r="B7" s="30">
        <v>30000</v>
      </c>
    </row>
    <row r="8" spans="1:3" x14ac:dyDescent="0.3">
      <c r="A8" s="16" t="s">
        <v>10</v>
      </c>
      <c r="B8" s="17">
        <v>5</v>
      </c>
    </row>
    <row r="9" spans="1:3" ht="15" thickBot="1" x14ac:dyDescent="0.35">
      <c r="A9" s="18" t="s">
        <v>17</v>
      </c>
      <c r="B9" s="19">
        <f>B8*12</f>
        <v>60</v>
      </c>
    </row>
    <row r="10" spans="1:3" x14ac:dyDescent="0.3">
      <c r="C10"/>
    </row>
    <row r="11" spans="1:3" x14ac:dyDescent="0.3">
      <c r="A11" s="13" t="s">
        <v>13</v>
      </c>
      <c r="B11" s="13" t="s">
        <v>14</v>
      </c>
      <c r="C11" s="13" t="s">
        <v>15</v>
      </c>
    </row>
    <row r="12" spans="1:3" x14ac:dyDescent="0.3">
      <c r="A12" s="31"/>
      <c r="B12" s="32"/>
      <c r="C12" s="37"/>
    </row>
    <row r="13" spans="1:3" x14ac:dyDescent="0.3">
      <c r="A13" s="34"/>
      <c r="B13" s="33"/>
      <c r="C13" s="38"/>
    </row>
    <row r="14" spans="1:3" x14ac:dyDescent="0.3">
      <c r="A14" s="34"/>
      <c r="B14" s="33"/>
      <c r="C14" s="38"/>
    </row>
    <row r="15" spans="1:3" x14ac:dyDescent="0.3">
      <c r="A15" s="34"/>
      <c r="B15" s="33"/>
      <c r="C15" s="38"/>
    </row>
    <row r="16" spans="1:3" x14ac:dyDescent="0.3">
      <c r="A16" s="34"/>
      <c r="B16" s="33"/>
      <c r="C16" s="38"/>
    </row>
    <row r="17" spans="1:3" x14ac:dyDescent="0.3">
      <c r="A17" s="34"/>
      <c r="B17" s="33"/>
      <c r="C17" s="38"/>
    </row>
    <row r="18" spans="1:3" x14ac:dyDescent="0.3">
      <c r="A18" s="34"/>
      <c r="B18" s="33"/>
      <c r="C18" s="38"/>
    </row>
    <row r="19" spans="1:3" x14ac:dyDescent="0.3">
      <c r="A19" s="34"/>
      <c r="B19" s="33"/>
      <c r="C19" s="38"/>
    </row>
    <row r="20" spans="1:3" x14ac:dyDescent="0.3">
      <c r="A20" s="34"/>
      <c r="B20" s="33"/>
      <c r="C20" s="38"/>
    </row>
    <row r="21" spans="1:3" x14ac:dyDescent="0.3">
      <c r="A21" s="34"/>
      <c r="B21" s="33"/>
      <c r="C21" s="38"/>
    </row>
    <row r="22" spans="1:3" x14ac:dyDescent="0.3">
      <c r="A22" s="35"/>
      <c r="B22" s="36"/>
      <c r="C22" s="39"/>
    </row>
    <row r="23" spans="1:3" x14ac:dyDescent="0.3">
      <c r="C23"/>
    </row>
    <row r="24" spans="1:3" x14ac:dyDescent="0.3">
      <c r="C24"/>
    </row>
  </sheetData>
  <hyperlinks>
    <hyperlink ref="B4" r:id="rId1" xr:uid="{930451D5-05F7-4FE0-B0F4-0832737A984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alculateMonthlyPayment">
                <anchor moveWithCells="1" sizeWithCells="1">
                  <from>
                    <xdr:col>2</xdr:col>
                    <xdr:colOff>106680</xdr:colOff>
                    <xdr:row>6</xdr:row>
                    <xdr:rowOff>15240</xdr:rowOff>
                  </from>
                  <to>
                    <xdr:col>3</xdr:col>
                    <xdr:colOff>441960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PMT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Barwell</dc:creator>
  <cp:lastModifiedBy>Joshua Barwell</cp:lastModifiedBy>
  <dcterms:created xsi:type="dcterms:W3CDTF">2024-09-17T21:30:05Z</dcterms:created>
  <dcterms:modified xsi:type="dcterms:W3CDTF">2024-09-26T22:55:37Z</dcterms:modified>
</cp:coreProperties>
</file>